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par\Documents\EPI 204 TA\Syllabus and Schedule\"/>
    </mc:Choice>
  </mc:AlternateContent>
  <xr:revisionPtr revIDLastSave="0" documentId="8_{C120F025-491B-4B1C-9829-8EF4BBED2017}" xr6:coauthVersionLast="47" xr6:coauthVersionMax="47" xr10:uidLastSave="{00000000-0000-0000-0000-000000000000}"/>
  <bookViews>
    <workbookView xWindow="-98" yWindow="-98" windowWidth="21795" windowHeight="13695" xr2:uid="{61AB5F6E-A2CB-459B-BEA9-E6C29FF57F61}"/>
  </bookViews>
  <sheets>
    <sheet name="Schedule" sheetId="1" r:id="rId1"/>
    <sheet name="Homework and Exam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 s="1"/>
  <c r="E5" i="2"/>
  <c r="E11" i="2"/>
  <c r="D7" i="2"/>
  <c r="E7" i="2" s="1"/>
  <c r="D6" i="2"/>
  <c r="E6" i="2" s="1"/>
  <c r="D5" i="2"/>
  <c r="D4" i="2"/>
  <c r="E4" i="2" s="1"/>
  <c r="D3" i="2"/>
  <c r="E3" i="2" s="1"/>
  <c r="C8" i="2"/>
  <c r="C9" i="2" s="1"/>
  <c r="D9" i="2" s="1"/>
  <c r="E9" i="2" s="1"/>
  <c r="A4" i="1"/>
  <c r="A6" i="1" s="1"/>
  <c r="A8" i="1" s="1"/>
  <c r="A10" i="1" s="1"/>
  <c r="A12" i="1" s="1"/>
  <c r="A14" i="1" s="1"/>
  <c r="A16" i="1" s="1"/>
  <c r="A18" i="1" s="1"/>
  <c r="A20" i="1" s="1"/>
  <c r="A3" i="1"/>
  <c r="A5" i="1" s="1"/>
  <c r="A7" i="1" s="1"/>
  <c r="A9" i="1" s="1"/>
  <c r="A11" i="1" s="1"/>
  <c r="A13" i="1" s="1"/>
  <c r="A15" i="1" s="1"/>
  <c r="A17" i="1" s="1"/>
  <c r="A19" i="1" s="1"/>
  <c r="A21" i="1" s="1"/>
  <c r="D8" i="2" l="1"/>
  <c r="E8" i="2" s="1"/>
  <c r="C10" i="2"/>
  <c r="D10" i="2" s="1"/>
  <c r="E10" i="2" s="1"/>
</calcChain>
</file>

<file path=xl/sharedStrings.xml><?xml version="1.0" encoding="utf-8"?>
<sst xmlns="http://schemas.openxmlformats.org/spreadsheetml/2006/main" count="169" uniqueCount="110">
  <si>
    <t>Date</t>
  </si>
  <si>
    <t>Week</t>
  </si>
  <si>
    <t>Day</t>
  </si>
  <si>
    <t>Topics</t>
  </si>
  <si>
    <t>Subtopics</t>
  </si>
  <si>
    <t>Deadlines*</t>
  </si>
  <si>
    <t>New Assignments</t>
  </si>
  <si>
    <t>Dunn &amp; Smyth sections</t>
  </si>
  <si>
    <t>Dobson sections</t>
  </si>
  <si>
    <t>Vittinghoff sections</t>
  </si>
  <si>
    <t>Lecture notes **</t>
  </si>
  <si>
    <t>URL</t>
  </si>
  <si>
    <t>T</t>
  </si>
  <si>
    <t>Review: basics of inference</t>
  </si>
  <si>
    <t>Maximum likelihood estimation</t>
  </si>
  <si>
    <t>HW 1</t>
  </si>
  <si>
    <t>1.1 - 1.2</t>
  </si>
  <si>
    <t>Appendix F.1.1 - F.1.8</t>
  </si>
  <si>
    <t>https://d-morrison.github.io/rme/intro-MLEs.html</t>
  </si>
  <si>
    <t>Th</t>
  </si>
  <si>
    <t>Quantifying uncertainty for MLEs: standard errors, confidence intervals, hypothesis tests, p-values, prediction</t>
  </si>
  <si>
    <t>1.3, 1.6, 2, 4</t>
  </si>
  <si>
    <t>F.1.9 - F.4</t>
  </si>
  <si>
    <t xml:space="preserve">https://d-morrison.github.io/rme/intro-MLEs.html </t>
  </si>
  <si>
    <t>Review: linear regression</t>
  </si>
  <si>
    <t>Interpreting linear regression models</t>
  </si>
  <si>
    <t>Inference for linear regression models</t>
  </si>
  <si>
    <t>HW 2</t>
  </si>
  <si>
    <t>2.1 - 2.7</t>
  </si>
  <si>
    <t>https://d-morrison.github.io/rme/Linear-models-overview.html#understanding-gaussian-linear-regression-models</t>
  </si>
  <si>
    <t>2.2 - 2.3</t>
  </si>
  <si>
    <t>https://d-morrison.github.io/rme/Linear-models-overview.html#estimating-linear-models-via-maximum-likelihood</t>
  </si>
  <si>
    <t>Goodness of Fit for Linear Regression Models</t>
  </si>
  <si>
    <t>HW 3</t>
  </si>
  <si>
    <t>2.4 - 2.5</t>
  </si>
  <si>
    <t>https://d-morrison.github.io/rme/Linear-models-overview.html#goodness-of-fit</t>
  </si>
  <si>
    <t>Logistic regression</t>
  </si>
  <si>
    <t>Odds, Odds ratios, risk ratios, risk differences, link functions</t>
  </si>
  <si>
    <t>3.1 - 3.4</t>
  </si>
  <si>
    <t>https://d-morrison.github.io/rme/logistic-regression.html#introduction</t>
  </si>
  <si>
    <t>Interpreting Logistic Regression Coefficients</t>
  </si>
  <si>
    <t>6, 7</t>
  </si>
  <si>
    <t>3.5 - 3.6</t>
  </si>
  <si>
    <t>https://d-morrison.github.io/rme/logistic-regression.html#risk-estimation-and-prediction</t>
  </si>
  <si>
    <t>Fitting logistic regression models</t>
  </si>
  <si>
    <t>3.4 - 3.10</t>
  </si>
  <si>
    <t>https://d-morrison.github.io/rme/logistic-regression.html#multiple-logistic-regression</t>
  </si>
  <si>
    <t>Diagnostics for logistic regression</t>
  </si>
  <si>
    <t>Review session</t>
  </si>
  <si>
    <t>Inference, Linear Regression, Logistic Regression</t>
  </si>
  <si>
    <t>Midterm 1</t>
  </si>
  <si>
    <t>Poisson regression</t>
  </si>
  <si>
    <t>Poisson regression models</t>
  </si>
  <si>
    <t>HW 5</t>
  </si>
  <si>
    <t>https://d-morrison.github.io/rme/count-regression.html</t>
  </si>
  <si>
    <t>Survival analysis</t>
  </si>
  <si>
    <t>hazard; censoring</t>
  </si>
  <si>
    <t>https://d-morrison.github.io/rme/intro-to-survival-analysis.html</t>
  </si>
  <si>
    <t>Kaplan-Meier and Nelson-Aalen curves</t>
  </si>
  <si>
    <t>survival regression models</t>
  </si>
  <si>
    <t>HW 6</t>
  </si>
  <si>
    <t>https://d-morrison.github.io/rme/proportional-hazards-models.html</t>
  </si>
  <si>
    <t>Poisson regression, survival analysis</t>
  </si>
  <si>
    <t>Midterm 2</t>
  </si>
  <si>
    <t>Midterm 2 review (HW7)</t>
  </si>
  <si>
    <t>Finals</t>
  </si>
  <si>
    <t>Everything above</t>
  </si>
  <si>
    <t>Final (optional)</t>
  </si>
  <si>
    <t>* homeworks have an automatic 24 hour grace period unless otherwise noted by Announcement</t>
  </si>
  <si>
    <t>Skipped?</t>
  </si>
  <si>
    <t>parametric survival models (AFTs)</t>
  </si>
  <si>
    <t>Section 8</t>
  </si>
  <si>
    <t>https://d-morrison.github.io/rme/parametric-survival-models.html</t>
  </si>
  <si>
    <t>** https://d-morrison.github.io/rme/</t>
  </si>
  <si>
    <t>Assignments</t>
  </si>
  <si>
    <t>Date Assigned</t>
  </si>
  <si>
    <t>Date Due*</t>
  </si>
  <si>
    <t>Date Returned (approx.)</t>
  </si>
  <si>
    <t>Homework 1</t>
  </si>
  <si>
    <t>Review of probability and inference; 
data manipulation, visualization, and analysis</t>
  </si>
  <si>
    <t>Homework 2</t>
  </si>
  <si>
    <t>Linear regression - theory and application</t>
  </si>
  <si>
    <t>Homework 3</t>
  </si>
  <si>
    <t>Logistic regression - theory</t>
  </si>
  <si>
    <t>Review for Midterm 1</t>
  </si>
  <si>
    <t>Inference, Linear regression, logistic regression</t>
  </si>
  <si>
    <t>Homework 4</t>
  </si>
  <si>
    <t>Logistic regression - data analysis</t>
  </si>
  <si>
    <t>Homework 5</t>
  </si>
  <si>
    <t>Poisson regression - theory and application</t>
  </si>
  <si>
    <t>Homework 6</t>
  </si>
  <si>
    <t>Survival analysis - theory</t>
  </si>
  <si>
    <t>Review for Midterm 2</t>
  </si>
  <si>
    <t>Homework 7</t>
  </si>
  <si>
    <t>Survival analysis - data analysis</t>
  </si>
  <si>
    <t>Review for Final</t>
  </si>
  <si>
    <t>Linear regression, GLMs, survival analysis</t>
  </si>
  <si>
    <t>Final exam (10:30am-12:30pm)</t>
  </si>
  <si>
    <t>AFTs?</t>
  </si>
  <si>
    <t>Review</t>
  </si>
  <si>
    <t>Everything above, except Poisson</t>
  </si>
  <si>
    <t>Lecturer</t>
  </si>
  <si>
    <t>Ezra</t>
  </si>
  <si>
    <t>Hilary</t>
  </si>
  <si>
    <t>Both?</t>
  </si>
  <si>
    <t>Hilary?</t>
  </si>
  <si>
    <t>Both</t>
  </si>
  <si>
    <t>Midterm 2 review (HW 7)</t>
  </si>
  <si>
    <t>* all homework assignments are due at 5pm on the due date.</t>
  </si>
  <si>
    <t>Review exam (ungraded)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</si>
</sst>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right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1"/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-morrison.github.io/rme/intro-to-survival-analysis.html" TargetMode="External"/><Relationship Id="rId13" Type="http://schemas.openxmlformats.org/officeDocument/2006/relationships/hyperlink" Target="https://d-morrison.github.io/rme/logistic-regression.html" TargetMode="External"/><Relationship Id="rId3" Type="http://schemas.openxmlformats.org/officeDocument/2006/relationships/hyperlink" Target="https://d-morrison.github.io/rme/Linear-models-overview.html" TargetMode="External"/><Relationship Id="rId7" Type="http://schemas.openxmlformats.org/officeDocument/2006/relationships/hyperlink" Target="https://d-morrison.github.io/rme/count-regression.html" TargetMode="External"/><Relationship Id="rId12" Type="http://schemas.openxmlformats.org/officeDocument/2006/relationships/hyperlink" Target="https://d-morrison.github.io/rme/Linear-models-overview.html" TargetMode="External"/><Relationship Id="rId2" Type="http://schemas.openxmlformats.org/officeDocument/2006/relationships/hyperlink" Target="https://d-morrison.github.io/rme/intro-MLEs.html" TargetMode="External"/><Relationship Id="rId1" Type="http://schemas.openxmlformats.org/officeDocument/2006/relationships/hyperlink" Target="https://d-morrison.github.io/rme/intro-MLEs.html" TargetMode="External"/><Relationship Id="rId6" Type="http://schemas.openxmlformats.org/officeDocument/2006/relationships/hyperlink" Target="https://d-morrison.github.io/rme/logistic-regression.html" TargetMode="External"/><Relationship Id="rId11" Type="http://schemas.openxmlformats.org/officeDocument/2006/relationships/hyperlink" Target="https://d-morrison.github.io/rme/Linear-models-overview.html" TargetMode="External"/><Relationship Id="rId5" Type="http://schemas.openxmlformats.org/officeDocument/2006/relationships/hyperlink" Target="https://d-morrison.github.io/rme/logistic-regression.html" TargetMode="External"/><Relationship Id="rId10" Type="http://schemas.openxmlformats.org/officeDocument/2006/relationships/hyperlink" Target="https://d-morrison.github.io/rme/count-regression.html" TargetMode="External"/><Relationship Id="rId4" Type="http://schemas.openxmlformats.org/officeDocument/2006/relationships/hyperlink" Target="https://d-morrison.github.io/rme/logistic-regression.html" TargetMode="External"/><Relationship Id="rId9" Type="http://schemas.openxmlformats.org/officeDocument/2006/relationships/hyperlink" Target="https://d-morrison.github.io/rme/intro-to-survival-analysis.html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C603-C73A-48F9-84D2-6354A24BE9A0}">
  <dimension ref="A1:O29"/>
  <sheetViews>
    <sheetView tabSelected="1" zoomScaleNormal="100" workbookViewId="0">
      <selection activeCell="F12" sqref="F12"/>
    </sheetView>
  </sheetViews>
  <sheetFormatPr defaultColWidth="8.796875" defaultRowHeight="14.25" x14ac:dyDescent="0.45"/>
  <cols>
    <col min="1" max="1" width="10.46484375" bestFit="1" customWidth="1"/>
    <col min="2" max="2" width="9.6640625" customWidth="1"/>
    <col min="4" max="4" width="31" customWidth="1"/>
    <col min="5" max="5" width="35.796875" customWidth="1"/>
    <col min="6" max="6" width="13" style="13" customWidth="1"/>
    <col min="7" max="7" width="18.33203125" style="13" customWidth="1"/>
    <col min="8" max="8" width="8.46484375" style="18" customWidth="1"/>
    <col min="9" max="9" width="9.33203125" style="17" customWidth="1"/>
    <col min="10" max="10" width="11.46484375" style="17" customWidth="1"/>
    <col min="11" max="12" width="19.33203125" customWidth="1"/>
  </cols>
  <sheetData>
    <row r="1" spans="1:13" s="13" customFormat="1" ht="46.05" customHeight="1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4" t="s">
        <v>7</v>
      </c>
      <c r="I1" s="14" t="s">
        <v>8</v>
      </c>
      <c r="J1" s="14" t="s">
        <v>9</v>
      </c>
      <c r="K1" s="11" t="s">
        <v>10</v>
      </c>
      <c r="L1" s="24" t="s">
        <v>101</v>
      </c>
      <c r="M1" s="11" t="s">
        <v>11</v>
      </c>
    </row>
    <row r="2" spans="1:13" x14ac:dyDescent="0.45">
      <c r="A2" s="6">
        <v>46112</v>
      </c>
      <c r="B2" s="5">
        <v>1</v>
      </c>
      <c r="C2" s="2" t="s">
        <v>12</v>
      </c>
      <c r="D2" s="2" t="s">
        <v>13</v>
      </c>
      <c r="E2" s="3" t="s">
        <v>14</v>
      </c>
      <c r="H2" s="16">
        <v>1</v>
      </c>
      <c r="I2" s="15" t="s">
        <v>16</v>
      </c>
      <c r="J2" s="15"/>
      <c r="K2" s="10" t="s">
        <v>17</v>
      </c>
      <c r="L2" s="10" t="s">
        <v>102</v>
      </c>
      <c r="M2" s="23" t="s">
        <v>18</v>
      </c>
    </row>
    <row r="3" spans="1:13" ht="42.75" x14ac:dyDescent="0.45">
      <c r="A3" s="6">
        <f>A2+2</f>
        <v>46114</v>
      </c>
      <c r="B3" s="5">
        <v>1</v>
      </c>
      <c r="C3" s="2" t="s">
        <v>19</v>
      </c>
      <c r="D3" s="2" t="s">
        <v>13</v>
      </c>
      <c r="E3" s="3" t="s">
        <v>20</v>
      </c>
      <c r="G3" s="13" t="s">
        <v>15</v>
      </c>
      <c r="H3" s="18">
        <v>4</v>
      </c>
      <c r="I3" s="17" t="s">
        <v>21</v>
      </c>
      <c r="J3" s="17">
        <v>5.6</v>
      </c>
      <c r="K3" s="10" t="s">
        <v>22</v>
      </c>
      <c r="L3" s="10" t="s">
        <v>102</v>
      </c>
      <c r="M3" s="23" t="s">
        <v>23</v>
      </c>
    </row>
    <row r="4" spans="1:13" ht="45.75" customHeight="1" x14ac:dyDescent="0.45">
      <c r="A4" s="6">
        <f>A2+7</f>
        <v>46119</v>
      </c>
      <c r="B4" s="5">
        <v>2</v>
      </c>
      <c r="C4" s="2" t="s">
        <v>12</v>
      </c>
      <c r="D4" s="2" t="s">
        <v>24</v>
      </c>
      <c r="E4" s="3" t="s">
        <v>25</v>
      </c>
      <c r="H4" s="18">
        <v>4</v>
      </c>
      <c r="I4" s="17">
        <v>5</v>
      </c>
      <c r="K4" s="10">
        <v>2.1</v>
      </c>
      <c r="L4" s="10" t="s">
        <v>102</v>
      </c>
      <c r="M4" s="23" t="s">
        <v>29</v>
      </c>
    </row>
    <row r="5" spans="1:13" x14ac:dyDescent="0.45">
      <c r="A5" s="6">
        <f t="shared" ref="A5:A20" si="0">A3+7</f>
        <v>46121</v>
      </c>
      <c r="B5" s="5">
        <v>2</v>
      </c>
      <c r="C5" s="2" t="s">
        <v>19</v>
      </c>
      <c r="D5" s="2" t="s">
        <v>24</v>
      </c>
      <c r="E5" s="9" t="s">
        <v>26</v>
      </c>
      <c r="F5" s="13" t="s">
        <v>15</v>
      </c>
      <c r="G5" s="13" t="s">
        <v>27</v>
      </c>
      <c r="H5" s="18" t="s">
        <v>28</v>
      </c>
      <c r="I5" s="17">
        <v>6</v>
      </c>
      <c r="J5" s="17">
        <v>4</v>
      </c>
      <c r="K5" s="10" t="s">
        <v>30</v>
      </c>
      <c r="L5" s="10" t="s">
        <v>102</v>
      </c>
      <c r="M5" s="23" t="s">
        <v>31</v>
      </c>
    </row>
    <row r="6" spans="1:13" ht="28.5" x14ac:dyDescent="0.45">
      <c r="A6" s="6">
        <f t="shared" si="0"/>
        <v>46126</v>
      </c>
      <c r="B6" s="5">
        <v>2.5</v>
      </c>
      <c r="C6" s="2" t="s">
        <v>12</v>
      </c>
      <c r="D6" s="2" t="s">
        <v>24</v>
      </c>
      <c r="E6" s="3" t="s">
        <v>32</v>
      </c>
      <c r="H6" s="18">
        <v>3</v>
      </c>
      <c r="I6" s="17">
        <v>6</v>
      </c>
      <c r="J6" s="17">
        <v>4</v>
      </c>
      <c r="K6" s="10" t="s">
        <v>34</v>
      </c>
      <c r="L6" s="10" t="s">
        <v>102</v>
      </c>
      <c r="M6" s="23" t="s">
        <v>35</v>
      </c>
    </row>
    <row r="7" spans="1:13" ht="29" customHeight="1" x14ac:dyDescent="0.45">
      <c r="A7" s="6">
        <f t="shared" si="0"/>
        <v>46128</v>
      </c>
      <c r="B7" s="5">
        <v>2.9</v>
      </c>
      <c r="C7" s="2" t="s">
        <v>19</v>
      </c>
      <c r="D7" s="4" t="s">
        <v>109</v>
      </c>
      <c r="F7" s="13" t="s">
        <v>27</v>
      </c>
      <c r="L7" s="10" t="s">
        <v>102</v>
      </c>
    </row>
    <row r="8" spans="1:13" ht="27.75" customHeight="1" x14ac:dyDescent="0.45">
      <c r="A8" s="6">
        <f t="shared" si="0"/>
        <v>46133</v>
      </c>
      <c r="B8" s="5">
        <v>4</v>
      </c>
      <c r="C8" s="2" t="s">
        <v>12</v>
      </c>
      <c r="D8" s="2" t="s">
        <v>36</v>
      </c>
      <c r="E8" s="3" t="s">
        <v>37</v>
      </c>
      <c r="H8" s="20">
        <v>5</v>
      </c>
      <c r="I8" s="19">
        <v>7</v>
      </c>
      <c r="J8" s="19">
        <v>5</v>
      </c>
      <c r="K8" s="10" t="s">
        <v>38</v>
      </c>
      <c r="L8" s="10" t="s">
        <v>103</v>
      </c>
      <c r="M8" s="23" t="s">
        <v>39</v>
      </c>
    </row>
    <row r="9" spans="1:13" ht="27.75" customHeight="1" x14ac:dyDescent="0.45">
      <c r="A9" s="6">
        <f t="shared" si="0"/>
        <v>46135</v>
      </c>
      <c r="B9" s="5">
        <v>3.7</v>
      </c>
      <c r="C9" s="2" t="s">
        <v>19</v>
      </c>
      <c r="D9" s="2" t="s">
        <v>36</v>
      </c>
      <c r="E9" s="3" t="s">
        <v>40</v>
      </c>
      <c r="G9" s="21" t="s">
        <v>33</v>
      </c>
      <c r="H9" s="20" t="s">
        <v>41</v>
      </c>
      <c r="I9" s="19">
        <v>7</v>
      </c>
      <c r="J9" s="19">
        <v>5</v>
      </c>
      <c r="K9" s="10" t="s">
        <v>42</v>
      </c>
      <c r="L9" s="10" t="s">
        <v>103</v>
      </c>
      <c r="M9" s="23" t="s">
        <v>43</v>
      </c>
    </row>
    <row r="10" spans="1:13" ht="31.05" customHeight="1" x14ac:dyDescent="0.45">
      <c r="A10" s="6">
        <f t="shared" si="0"/>
        <v>46140</v>
      </c>
      <c r="B10" s="5">
        <v>5</v>
      </c>
      <c r="C10" s="2" t="s">
        <v>12</v>
      </c>
      <c r="D10" s="2" t="s">
        <v>36</v>
      </c>
      <c r="E10" s="3" t="s">
        <v>44</v>
      </c>
      <c r="H10" s="20">
        <v>8</v>
      </c>
      <c r="I10" s="19">
        <v>7</v>
      </c>
      <c r="J10" s="19">
        <v>5</v>
      </c>
      <c r="K10" s="10" t="s">
        <v>45</v>
      </c>
      <c r="L10" s="10" t="s">
        <v>103</v>
      </c>
      <c r="M10" s="23" t="s">
        <v>46</v>
      </c>
    </row>
    <row r="11" spans="1:13" ht="30.75" customHeight="1" x14ac:dyDescent="0.45">
      <c r="A11" s="6">
        <f t="shared" si="0"/>
        <v>46142</v>
      </c>
      <c r="B11" s="5">
        <v>5</v>
      </c>
      <c r="C11" s="2" t="s">
        <v>19</v>
      </c>
      <c r="D11" s="2" t="s">
        <v>36</v>
      </c>
      <c r="E11" s="3" t="s">
        <v>47</v>
      </c>
      <c r="L11" s="10" t="s">
        <v>103</v>
      </c>
      <c r="M11" s="23" t="s">
        <v>46</v>
      </c>
    </row>
    <row r="12" spans="1:13" ht="31.05" customHeight="1" x14ac:dyDescent="0.45">
      <c r="A12" s="6">
        <f t="shared" si="0"/>
        <v>46147</v>
      </c>
      <c r="B12" s="5">
        <v>6</v>
      </c>
      <c r="C12" s="2" t="s">
        <v>12</v>
      </c>
      <c r="D12" s="2" t="s">
        <v>48</v>
      </c>
      <c r="E12" s="3" t="s">
        <v>49</v>
      </c>
      <c r="F12" s="13" t="s">
        <v>33</v>
      </c>
      <c r="L12" s="10" t="s">
        <v>104</v>
      </c>
    </row>
    <row r="13" spans="1:13" ht="30.75" customHeight="1" x14ac:dyDescent="0.45">
      <c r="A13" s="6">
        <f t="shared" si="0"/>
        <v>46149</v>
      </c>
      <c r="B13" s="5">
        <v>6</v>
      </c>
      <c r="C13" s="2" t="s">
        <v>19</v>
      </c>
      <c r="D13" s="4" t="s">
        <v>50</v>
      </c>
      <c r="E13" s="3" t="s">
        <v>49</v>
      </c>
      <c r="F13" s="21"/>
      <c r="L13" s="10" t="s">
        <v>103</v>
      </c>
    </row>
    <row r="14" spans="1:13" ht="33" customHeight="1" x14ac:dyDescent="0.45">
      <c r="A14" s="6">
        <f t="shared" si="0"/>
        <v>46154</v>
      </c>
      <c r="B14" s="5">
        <v>7</v>
      </c>
      <c r="C14" s="2" t="s">
        <v>12</v>
      </c>
      <c r="D14" s="2" t="s">
        <v>55</v>
      </c>
      <c r="E14" s="3" t="s">
        <v>56</v>
      </c>
      <c r="I14" s="17">
        <v>10</v>
      </c>
      <c r="J14" s="17">
        <v>6</v>
      </c>
      <c r="K14" s="10">
        <v>5</v>
      </c>
      <c r="L14" s="10" t="s">
        <v>102</v>
      </c>
      <c r="M14" s="23" t="s">
        <v>57</v>
      </c>
    </row>
    <row r="15" spans="1:13" ht="37.049999999999997" customHeight="1" x14ac:dyDescent="0.45">
      <c r="A15" s="6">
        <f t="shared" si="0"/>
        <v>46156</v>
      </c>
      <c r="B15" s="5">
        <v>7</v>
      </c>
      <c r="C15" s="2" t="s">
        <v>19</v>
      </c>
      <c r="D15" s="2" t="s">
        <v>55</v>
      </c>
      <c r="E15" s="3" t="s">
        <v>58</v>
      </c>
      <c r="I15" s="17">
        <v>10</v>
      </c>
      <c r="J15" s="17">
        <v>6</v>
      </c>
      <c r="K15" s="10">
        <v>5</v>
      </c>
      <c r="L15" s="10" t="s">
        <v>102</v>
      </c>
      <c r="M15" s="23" t="s">
        <v>57</v>
      </c>
    </row>
    <row r="16" spans="1:13" ht="32" customHeight="1" x14ac:dyDescent="0.45">
      <c r="A16" s="6">
        <f t="shared" si="0"/>
        <v>46161</v>
      </c>
      <c r="B16" s="5">
        <v>8</v>
      </c>
      <c r="C16" s="2" t="s">
        <v>12</v>
      </c>
      <c r="D16" s="2" t="s">
        <v>55</v>
      </c>
      <c r="E16" s="3" t="s">
        <v>59</v>
      </c>
      <c r="G16" s="13" t="s">
        <v>60</v>
      </c>
      <c r="I16" s="17">
        <v>10</v>
      </c>
      <c r="J16" s="17">
        <v>6</v>
      </c>
      <c r="K16" s="10">
        <v>6</v>
      </c>
      <c r="L16" s="10" t="s">
        <v>102</v>
      </c>
      <c r="M16" t="s">
        <v>61</v>
      </c>
    </row>
    <row r="17" spans="1:15" ht="38" customHeight="1" x14ac:dyDescent="0.45">
      <c r="A17" s="6">
        <f t="shared" si="0"/>
        <v>46163</v>
      </c>
      <c r="B17" s="5">
        <v>8</v>
      </c>
      <c r="C17" s="2" t="s">
        <v>19</v>
      </c>
      <c r="D17" s="2" t="s">
        <v>55</v>
      </c>
      <c r="E17" s="3" t="s">
        <v>98</v>
      </c>
      <c r="I17" s="17">
        <v>10</v>
      </c>
      <c r="J17" s="17">
        <v>6</v>
      </c>
      <c r="K17" s="10">
        <v>6</v>
      </c>
      <c r="L17" s="10" t="s">
        <v>105</v>
      </c>
      <c r="M17" t="s">
        <v>61</v>
      </c>
    </row>
    <row r="18" spans="1:15" ht="28.5" x14ac:dyDescent="0.45">
      <c r="A18" s="6">
        <f t="shared" si="0"/>
        <v>46168</v>
      </c>
      <c r="B18" s="5">
        <v>9</v>
      </c>
      <c r="C18" s="2" t="s">
        <v>12</v>
      </c>
      <c r="D18" s="2" t="s">
        <v>48</v>
      </c>
      <c r="E18" s="3" t="s">
        <v>55</v>
      </c>
      <c r="F18" s="13" t="s">
        <v>60</v>
      </c>
      <c r="G18" s="13" t="s">
        <v>107</v>
      </c>
      <c r="L18" s="10" t="s">
        <v>102</v>
      </c>
    </row>
    <row r="19" spans="1:15" ht="45.75" customHeight="1" x14ac:dyDescent="0.45">
      <c r="A19" s="6">
        <f t="shared" si="0"/>
        <v>46170</v>
      </c>
      <c r="B19" s="5">
        <v>9</v>
      </c>
      <c r="C19" s="2" t="s">
        <v>19</v>
      </c>
      <c r="D19" s="4" t="s">
        <v>63</v>
      </c>
      <c r="E19" s="3" t="s">
        <v>55</v>
      </c>
      <c r="F19" s="21" t="s">
        <v>64</v>
      </c>
      <c r="L19" s="10" t="s">
        <v>102</v>
      </c>
    </row>
    <row r="20" spans="1:15" ht="26.25" customHeight="1" x14ac:dyDescent="0.45">
      <c r="A20" s="6">
        <f t="shared" si="0"/>
        <v>46175</v>
      </c>
      <c r="B20" s="5">
        <v>10</v>
      </c>
      <c r="C20" s="2" t="s">
        <v>12</v>
      </c>
      <c r="D20" s="2" t="s">
        <v>51</v>
      </c>
      <c r="E20" t="s">
        <v>52</v>
      </c>
      <c r="G20" s="13" t="s">
        <v>53</v>
      </c>
      <c r="H20" s="18">
        <v>10</v>
      </c>
      <c r="I20" s="17">
        <v>9</v>
      </c>
      <c r="J20" s="17">
        <v>8</v>
      </c>
      <c r="K20" s="10">
        <v>4</v>
      </c>
      <c r="L20" s="10" t="s">
        <v>103</v>
      </c>
      <c r="M20" s="23" t="s">
        <v>54</v>
      </c>
    </row>
    <row r="21" spans="1:15" x14ac:dyDescent="0.45">
      <c r="A21" s="6">
        <f>A19+7</f>
        <v>46177</v>
      </c>
      <c r="B21" s="5">
        <v>10</v>
      </c>
      <c r="C21" s="2" t="s">
        <v>19</v>
      </c>
      <c r="D21" s="2" t="s">
        <v>99</v>
      </c>
      <c r="E21" t="s">
        <v>66</v>
      </c>
      <c r="F21" s="13" t="s">
        <v>53</v>
      </c>
      <c r="H21" s="18">
        <v>10</v>
      </c>
      <c r="I21" s="17">
        <v>9</v>
      </c>
      <c r="J21" s="17">
        <v>8</v>
      </c>
      <c r="K21" s="10">
        <v>4</v>
      </c>
      <c r="L21" s="10" t="s">
        <v>106</v>
      </c>
      <c r="M21" s="23" t="s">
        <v>54</v>
      </c>
    </row>
    <row r="22" spans="1:15" ht="45" customHeight="1" x14ac:dyDescent="0.45">
      <c r="A22" s="6">
        <v>45086</v>
      </c>
      <c r="B22" s="5" t="s">
        <v>65</v>
      </c>
      <c r="C22" s="2" t="s">
        <v>12</v>
      </c>
      <c r="D22" s="4" t="s">
        <v>97</v>
      </c>
      <c r="E22" s="3" t="s">
        <v>100</v>
      </c>
      <c r="F22" s="13" t="s">
        <v>67</v>
      </c>
      <c r="L22" s="10" t="s">
        <v>106</v>
      </c>
    </row>
    <row r="25" spans="1:15" ht="53" customHeight="1" x14ac:dyDescent="0.45">
      <c r="E25" s="3" t="s">
        <v>68</v>
      </c>
    </row>
    <row r="26" spans="1:15" x14ac:dyDescent="0.45">
      <c r="B26" s="5"/>
    </row>
    <row r="29" spans="1:15" x14ac:dyDescent="0.45">
      <c r="B29" s="22" t="s">
        <v>69</v>
      </c>
      <c r="D29" s="2" t="s">
        <v>55</v>
      </c>
      <c r="E29" s="3" t="s">
        <v>70</v>
      </c>
      <c r="K29" s="10" t="s">
        <v>71</v>
      </c>
      <c r="L29" s="10"/>
      <c r="M29" t="s">
        <v>72</v>
      </c>
      <c r="N29" s="17"/>
      <c r="O29" t="s">
        <v>73</v>
      </c>
    </row>
  </sheetData>
  <conditionalFormatting sqref="C1:C26 C29:C1048576">
    <cfRule type="containsText" dxfId="1" priority="4" operator="containsText" text="Th">
      <formula>NOT(ISERROR(SEARCH("Th",C1)))</formula>
    </cfRule>
    <cfRule type="endsWith" dxfId="0" priority="5" operator="endsWith" text="T">
      <formula>RIGHT(C1,LEN("T"))="T"</formula>
    </cfRule>
  </conditionalFormatting>
  <conditionalFormatting sqref="C29:C1048576 C1:C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M2" r:id="rId1" xr:uid="{8D576502-A349-464E-81DE-612652903474}"/>
    <hyperlink ref="M3" r:id="rId2" xr:uid="{4C7F08F4-A420-454B-B97E-DFA8172F90F7}"/>
    <hyperlink ref="M6" r:id="rId3" location="goodness-of-fit" xr:uid="{3A5D0745-4E16-4669-8AE8-C63866A38AB5}"/>
    <hyperlink ref="M8" r:id="rId4" location="introduction" xr:uid="{9B44247F-FBD3-4749-8C92-F07E1F0D0B33}"/>
    <hyperlink ref="M9" r:id="rId5" location="risk-estimation-and-prediction" xr:uid="{76660EAD-8603-4070-8D63-6F172ADFA0E5}"/>
    <hyperlink ref="M10" r:id="rId6" location="multiple-logistic-regression" xr:uid="{74580F79-3926-46B4-B0F1-11016E2AE973}"/>
    <hyperlink ref="M20" r:id="rId7" xr:uid="{A5118BFC-7ED1-4E37-BF2D-C2FBF1D10CA3}"/>
    <hyperlink ref="M14" r:id="rId8" xr:uid="{E043BE12-F435-4DBB-A4F3-0CD26AE97B47}"/>
    <hyperlink ref="M15" r:id="rId9" xr:uid="{050F0071-4C5E-4150-9FC6-5470A8D269C4}"/>
    <hyperlink ref="M21" r:id="rId10" xr:uid="{56DB2443-0407-BD47-8827-68BC12535AC8}"/>
    <hyperlink ref="M4" r:id="rId11" location="understanding-gaussian-linear-regression-models" display="https://d-morrison.github.io/rme/Linear-models-overview.html - understanding-gaussian-linear-regression-models" xr:uid="{8838E94D-95F0-4940-8ECE-FBEBD7FE0445}"/>
    <hyperlink ref="M5" r:id="rId12" location="estimating-linear-models-via-maximum-likelihood" display="https://d-morrison.github.io/rme/Linear-models-overview.html - estimating-linear-models-via-maximum-likelihood" xr:uid="{A68812B6-8767-43DF-AA72-0E8E8F5DD266}"/>
    <hyperlink ref="M11" r:id="rId13" location="multiple-logistic-regression" display="https://d-morrison.github.io/rme/logistic-regression.html - multiple-logistic-regression" xr:uid="{C3AFFA44-34B7-4A08-BC52-5CFE450577CF}"/>
  </hyperlinks>
  <pageMargins left="0.7" right="0.7" top="0.75" bottom="0.75" header="0.3" footer="0.3"/>
  <pageSetup orientation="portrait" horizontalDpi="1200" verticalDpi="1200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A67D-9B8E-441C-8B47-F1C1336E2A03}">
  <dimension ref="A1:E16"/>
  <sheetViews>
    <sheetView zoomScaleNormal="178" workbookViewId="0">
      <selection activeCell="A7" sqref="A7"/>
    </sheetView>
  </sheetViews>
  <sheetFormatPr defaultColWidth="8.796875" defaultRowHeight="14.25" x14ac:dyDescent="0.45"/>
  <cols>
    <col min="1" max="1" width="21.46484375" customWidth="1"/>
    <col min="2" max="2" width="22" customWidth="1"/>
    <col min="3" max="3" width="15.1328125" customWidth="1"/>
    <col min="4" max="4" width="13.46484375" customWidth="1"/>
  </cols>
  <sheetData>
    <row r="1" spans="1:5" x14ac:dyDescent="0.45">
      <c r="A1" s="3" t="s">
        <v>74</v>
      </c>
      <c r="B1" s="2" t="s">
        <v>3</v>
      </c>
      <c r="C1" s="2" t="s">
        <v>75</v>
      </c>
      <c r="D1" s="2" t="s">
        <v>76</v>
      </c>
      <c r="E1" s="2" t="s">
        <v>77</v>
      </c>
    </row>
    <row r="2" spans="1:5" ht="57" x14ac:dyDescent="0.45">
      <c r="A2" s="2" t="s">
        <v>78</v>
      </c>
      <c r="B2" s="3" t="s">
        <v>79</v>
      </c>
      <c r="C2" s="7">
        <v>46112</v>
      </c>
      <c r="D2" s="7">
        <f>C2+9</f>
        <v>46121</v>
      </c>
      <c r="E2" s="7">
        <f>D2+6</f>
        <v>46127</v>
      </c>
    </row>
    <row r="3" spans="1:5" ht="28.5" x14ac:dyDescent="0.45">
      <c r="A3" s="2" t="s">
        <v>80</v>
      </c>
      <c r="B3" s="3" t="s">
        <v>81</v>
      </c>
      <c r="C3" s="7">
        <v>46121</v>
      </c>
      <c r="D3" s="7">
        <f t="shared" ref="D3:D10" si="0">C3+7</f>
        <v>46128</v>
      </c>
      <c r="E3" s="7">
        <f t="shared" ref="E3:E11" si="1">D3+6</f>
        <v>46134</v>
      </c>
    </row>
    <row r="4" spans="1:5" ht="51.75" customHeight="1" x14ac:dyDescent="0.45">
      <c r="A4" s="2" t="s">
        <v>82</v>
      </c>
      <c r="B4" s="3" t="s">
        <v>83</v>
      </c>
      <c r="C4" s="7">
        <v>46128</v>
      </c>
      <c r="D4" s="7">
        <f t="shared" si="0"/>
        <v>46135</v>
      </c>
      <c r="E4" s="7">
        <f t="shared" si="1"/>
        <v>46141</v>
      </c>
    </row>
    <row r="5" spans="1:5" ht="27" customHeight="1" x14ac:dyDescent="0.45">
      <c r="A5" s="2" t="s">
        <v>84</v>
      </c>
      <c r="B5" s="8" t="s">
        <v>85</v>
      </c>
      <c r="C5" s="7">
        <v>45043</v>
      </c>
      <c r="D5" s="7">
        <f t="shared" si="0"/>
        <v>45050</v>
      </c>
      <c r="E5" s="7">
        <f t="shared" si="1"/>
        <v>45056</v>
      </c>
    </row>
    <row r="6" spans="1:5" ht="28.5" x14ac:dyDescent="0.45">
      <c r="A6" s="2" t="s">
        <v>86</v>
      </c>
      <c r="B6" s="8" t="s">
        <v>87</v>
      </c>
      <c r="C6" s="7">
        <v>46140</v>
      </c>
      <c r="D6" s="7">
        <f t="shared" si="0"/>
        <v>46147</v>
      </c>
      <c r="E6" s="7">
        <f t="shared" si="1"/>
        <v>46153</v>
      </c>
    </row>
    <row r="7" spans="1:5" ht="35" customHeight="1" x14ac:dyDescent="0.45">
      <c r="A7" s="2" t="s">
        <v>88</v>
      </c>
      <c r="B7" s="3" t="s">
        <v>89</v>
      </c>
      <c r="C7" s="7">
        <v>46161</v>
      </c>
      <c r="D7" s="7">
        <f t="shared" si="0"/>
        <v>46168</v>
      </c>
      <c r="E7" s="7">
        <f t="shared" si="1"/>
        <v>46174</v>
      </c>
    </row>
    <row r="8" spans="1:5" x14ac:dyDescent="0.45">
      <c r="A8" s="2" t="s">
        <v>90</v>
      </c>
      <c r="B8" s="3" t="s">
        <v>91</v>
      </c>
      <c r="C8" s="7">
        <f>C7+7</f>
        <v>46168</v>
      </c>
      <c r="D8" s="7">
        <f t="shared" si="0"/>
        <v>46175</v>
      </c>
      <c r="E8" s="7">
        <f t="shared" si="1"/>
        <v>46181</v>
      </c>
    </row>
    <row r="9" spans="1:5" ht="28.5" x14ac:dyDescent="0.45">
      <c r="A9" s="2" t="s">
        <v>92</v>
      </c>
      <c r="B9" s="3" t="s">
        <v>62</v>
      </c>
      <c r="C9" s="7">
        <f>C8+7</f>
        <v>46175</v>
      </c>
      <c r="D9" s="7">
        <f t="shared" si="0"/>
        <v>46182</v>
      </c>
      <c r="E9" s="7">
        <f t="shared" si="1"/>
        <v>46188</v>
      </c>
    </row>
    <row r="10" spans="1:5" ht="28.5" x14ac:dyDescent="0.45">
      <c r="A10" s="2" t="s">
        <v>93</v>
      </c>
      <c r="B10" s="3" t="s">
        <v>94</v>
      </c>
      <c r="C10" s="7">
        <f>C9+7</f>
        <v>46182</v>
      </c>
      <c r="D10" s="7">
        <f t="shared" si="0"/>
        <v>46189</v>
      </c>
      <c r="E10" s="7">
        <f t="shared" si="1"/>
        <v>46195</v>
      </c>
    </row>
    <row r="11" spans="1:5" ht="37.049999999999997" customHeight="1" x14ac:dyDescent="0.45">
      <c r="A11" s="2" t="s">
        <v>95</v>
      </c>
      <c r="B11" s="3" t="s">
        <v>96</v>
      </c>
      <c r="C11" s="7">
        <v>45078</v>
      </c>
      <c r="D11" s="7">
        <v>45089</v>
      </c>
      <c r="E11" s="7">
        <f t="shared" si="1"/>
        <v>45095</v>
      </c>
    </row>
    <row r="13" spans="1:5" x14ac:dyDescent="0.45">
      <c r="A13" t="s">
        <v>108</v>
      </c>
      <c r="C13" s="1"/>
      <c r="D13" s="1"/>
      <c r="E13" s="1"/>
    </row>
    <row r="14" spans="1:5" x14ac:dyDescent="0.45">
      <c r="C14" s="1"/>
      <c r="D14" s="1"/>
      <c r="E14" s="1"/>
    </row>
    <row r="15" spans="1:5" x14ac:dyDescent="0.45">
      <c r="C15" s="1"/>
      <c r="D15" s="1"/>
      <c r="E15" s="1"/>
    </row>
    <row r="16" spans="1:5" x14ac:dyDescent="0.45">
      <c r="C16" s="1"/>
      <c r="D16" s="1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2327A238A96B41B6E181E16B9FD5E1" ma:contentTypeVersion="3" ma:contentTypeDescription="Create a new document." ma:contentTypeScope="" ma:versionID="442c97a78e7a7afe05756752611b68ab">
  <xsd:schema xmlns:xsd="http://www.w3.org/2001/XMLSchema" xmlns:xs="http://www.w3.org/2001/XMLSchema" xmlns:p="http://schemas.microsoft.com/office/2006/metadata/properties" xmlns:ns2="245a5c14-608f-4ea1-b799-f56ebd791711" targetNamespace="http://schemas.microsoft.com/office/2006/metadata/properties" ma:root="true" ma:fieldsID="4d9965a78b93127e3088460be16c85f1" ns2:_="">
    <xsd:import namespace="245a5c14-608f-4ea1-b799-f56ebd791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a5c14-608f-4ea1-b799-f56ebd791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E42FEB-A2E7-494F-B5C8-D4208BE29323}">
  <ds:schemaRefs>
    <ds:schemaRef ds:uri="http://www.w3.org/XML/1998/namespace"/>
    <ds:schemaRef ds:uri="http://purl.org/dc/elements/1.1/"/>
    <ds:schemaRef ds:uri="http://purl.org/dc/dcmitype/"/>
    <ds:schemaRef ds:uri="245a5c14-608f-4ea1-b799-f56ebd791711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484BA2D-AB08-4092-96A2-99682BDC4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a5c14-608f-4ea1-b799-f56ebd7917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54C121-E00C-450C-9930-82F3ACA1B9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Homework and Exams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Douglas Ezra Morrison</dc:creator>
  <cp:keywords/>
  <dc:description/>
  <cp:lastModifiedBy>Sidney Kempe Parel</cp:lastModifiedBy>
  <cp:revision/>
  <dcterms:created xsi:type="dcterms:W3CDTF">2023-03-28T02:48:32Z</dcterms:created>
  <dcterms:modified xsi:type="dcterms:W3CDTF">2026-04-29T04:43:53Z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0x010100C72327A238A96B41B6E181E16B9FD5E1</vt:lpwstr>
  </property>
</Properties>
</file>